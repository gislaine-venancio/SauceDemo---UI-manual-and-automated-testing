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42187a3e66a46da/Área de Trabalho/Engenharia/QA portifolio/Website - Saucedemo/"/>
    </mc:Choice>
  </mc:AlternateContent>
  <xr:revisionPtr revIDLastSave="310" documentId="8_{6EE309AC-BF3B-4E87-BC2A-F49FFD4C5B20}" xr6:coauthVersionLast="47" xr6:coauthVersionMax="47" xr10:uidLastSave="{D9BD94DF-C8F4-48D5-AE3C-228E87EFE712}"/>
  <bookViews>
    <workbookView xWindow="26772" yWindow="2352" windowWidth="23256" windowHeight="12456" tabRatio="500" xr2:uid="{00000000-000D-0000-FFFF-FFFF00000000}"/>
  </bookViews>
  <sheets>
    <sheet name="Test Cases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C6" i="2"/>
  <c r="B6" i="2"/>
  <c r="E5" i="2"/>
  <c r="D5" i="2"/>
  <c r="C5" i="2"/>
  <c r="B5" i="2"/>
  <c r="E4" i="2"/>
  <c r="D4" i="2"/>
  <c r="C4" i="2"/>
  <c r="B4" i="2"/>
  <c r="E3" i="2"/>
  <c r="D3" i="2"/>
  <c r="F3" i="2" s="1"/>
  <c r="C3" i="2"/>
  <c r="B3" i="2"/>
  <c r="C7" i="2" l="1"/>
  <c r="B7" i="2"/>
  <c r="E7" i="2"/>
  <c r="F4" i="2"/>
  <c r="F5" i="2"/>
  <c r="F6" i="2"/>
  <c r="D7" i="2"/>
  <c r="F7" i="2" l="1"/>
</calcChain>
</file>

<file path=xl/sharedStrings.xml><?xml version="1.0" encoding="utf-8"?>
<sst xmlns="http://schemas.openxmlformats.org/spreadsheetml/2006/main" count="445" uniqueCount="234">
  <si>
    <t>TC ID</t>
  </si>
  <si>
    <t>Module</t>
  </si>
  <si>
    <t>Test Scenario</t>
  </si>
  <si>
    <t>Test Type</t>
  </si>
  <si>
    <t>Preconditions</t>
  </si>
  <si>
    <t>Expected Result</t>
  </si>
  <si>
    <t>Priority</t>
  </si>
  <si>
    <t>Status</t>
  </si>
  <si>
    <t>LOGIN</t>
  </si>
  <si>
    <t>TC-001</t>
  </si>
  <si>
    <t>Functional</t>
  </si>
  <si>
    <t>High</t>
  </si>
  <si>
    <t>Passed</t>
  </si>
  <si>
    <t>TC-002</t>
  </si>
  <si>
    <t>TC-003</t>
  </si>
  <si>
    <t>TC-004</t>
  </si>
  <si>
    <t>TC-005</t>
  </si>
  <si>
    <t>TC-006</t>
  </si>
  <si>
    <t>TC-007</t>
  </si>
  <si>
    <t>Users</t>
  </si>
  <si>
    <t>Failed</t>
  </si>
  <si>
    <t>Not Executed</t>
  </si>
  <si>
    <t>Products</t>
  </si>
  <si>
    <t>Carts</t>
  </si>
  <si>
    <t>ServeRest API – Test Execution Summary</t>
  </si>
  <si>
    <t>Total TCs</t>
  </si>
  <si>
    <t>Pass Rate</t>
  </si>
  <si>
    <t>TOTAL</t>
  </si>
  <si>
    <t>STATUS LEGEND</t>
  </si>
  <si>
    <t>Tests not yet run</t>
  </si>
  <si>
    <t>Test passed as expected</t>
  </si>
  <si>
    <t>Test failed – bug to be logged</t>
  </si>
  <si>
    <t>Blocked</t>
  </si>
  <si>
    <t>Blocked by dependency or environment</t>
  </si>
  <si>
    <t>Login</t>
  </si>
  <si>
    <t>Login Page</t>
  </si>
  <si>
    <t>Valid login</t>
  </si>
  <si>
    <t>Browser open, on login page</t>
  </si>
  <si>
    <t>Page/Screen</t>
  </si>
  <si>
    <t>User Action</t>
  </si>
  <si>
    <t>Steps</t>
  </si>
  <si>
    <t>Locked out user</t>
  </si>
  <si>
    <t>Error: 'Epic sadface: Sorry, this user has been locked out.'; user stays on login page.</t>
  </si>
  <si>
    <t>Negative</t>
  </si>
  <si>
    <t>Medium</t>
  </si>
  <si>
    <t>Login with problem_user</t>
  </si>
  <si>
    <t>Login with performance_glitch_user</t>
  </si>
  <si>
    <t>Low</t>
  </si>
  <si>
    <t>On login page</t>
  </si>
  <si>
    <t>Invalid credentials</t>
  </si>
  <si>
    <t>Empty password</t>
  </si>
  <si>
    <t>Empty username</t>
  </si>
  <si>
    <t>Both fields empty</t>
  </si>
  <si>
    <t>Dismiss error message</t>
  </si>
  <si>
    <t>On login page, after a login error</t>
  </si>
  <si>
    <t>1. Click the X on the red error banner.</t>
  </si>
  <si>
    <t>TC-008</t>
  </si>
  <si>
    <t>TC-009</t>
  </si>
  <si>
    <t>PRODUCT LISTING</t>
  </si>
  <si>
    <t>TC-010</t>
  </si>
  <si>
    <t>TC-011</t>
  </si>
  <si>
    <t>Product Listing</t>
  </si>
  <si>
    <t>Products Page</t>
  </si>
  <si>
    <t>Browse</t>
  </si>
  <si>
    <t>Products page loads all items</t>
  </si>
  <si>
    <t>Logged in as standard_user</t>
  </si>
  <si>
    <t>Navigate</t>
  </si>
  <si>
    <t>Product image links to detail page</t>
  </si>
  <si>
    <t>TC-012</t>
  </si>
  <si>
    <t>Sort</t>
  </si>
  <si>
    <t>Sort: Name (A to Z)</t>
  </si>
  <si>
    <t>TC-013</t>
  </si>
  <si>
    <t>Sort: Name (Z to A)</t>
  </si>
  <si>
    <t>TC-014</t>
  </si>
  <si>
    <t>Sort: Price (low to high)</t>
  </si>
  <si>
    <t>TC-015</t>
  </si>
  <si>
    <t>Sort: Price (high to low)</t>
  </si>
  <si>
    <t>TC-016</t>
  </si>
  <si>
    <t>Sorting with problem_user</t>
  </si>
  <si>
    <t>Logged in as problem_user</t>
  </si>
  <si>
    <t>Compare against standard_user results; document any case where sorting does not reorder products.</t>
  </si>
  <si>
    <t>SHOPPING CART</t>
  </si>
  <si>
    <t>TC-017</t>
  </si>
  <si>
    <t>Shopping Cart</t>
  </si>
  <si>
    <t>Add to cart</t>
  </si>
  <si>
    <t>Add single item to cart</t>
  </si>
  <si>
    <t>TC-018</t>
  </si>
  <si>
    <t>Add multiple items to cart</t>
  </si>
  <si>
    <t>TC-019</t>
  </si>
  <si>
    <t>Remove from cart</t>
  </si>
  <si>
    <t>Remove item from Products page</t>
  </si>
  <si>
    <t>TC-020</t>
  </si>
  <si>
    <t>Cart Page</t>
  </si>
  <si>
    <t>View cart</t>
  </si>
  <si>
    <t>View cart contents</t>
  </si>
  <si>
    <t>TC-021</t>
  </si>
  <si>
    <t>Remove item from Cart page</t>
  </si>
  <si>
    <t>TC-022</t>
  </si>
  <si>
    <t>Continue shopping</t>
  </si>
  <si>
    <t>TC-023</t>
  </si>
  <si>
    <t>Cart persists across pages</t>
  </si>
  <si>
    <t>TC-024</t>
  </si>
  <si>
    <t>Checkout</t>
  </si>
  <si>
    <t>Checkout button on empty cart</t>
  </si>
  <si>
    <t>CHECKOUT FLOW</t>
  </si>
  <si>
    <t>TC-025</t>
  </si>
  <si>
    <t>Checkout Flow</t>
  </si>
  <si>
    <t>Checkout: Your Information</t>
  </si>
  <si>
    <t>Fill form</t>
  </si>
  <si>
    <t>Complete checkout with valid data</t>
  </si>
  <si>
    <t>TC-026</t>
  </si>
  <si>
    <t>Missing first name</t>
  </si>
  <si>
    <t>TC-027</t>
  </si>
  <si>
    <t>Missing last name</t>
  </si>
  <si>
    <t>TC-028</t>
  </si>
  <si>
    <t>Missing postal code</t>
  </si>
  <si>
    <t>TC-029</t>
  </si>
  <si>
    <t>Cancel</t>
  </si>
  <si>
    <t>Cancel checkout from info step</t>
  </si>
  <si>
    <t>TC-030</t>
  </si>
  <si>
    <t>Checkout Overview</t>
  </si>
  <si>
    <t>Verify totals</t>
  </si>
  <si>
    <t>Order total calculation</t>
  </si>
  <si>
    <t>TC-031</t>
  </si>
  <si>
    <t>Cancel checkout from overview step</t>
  </si>
  <si>
    <t>TC-032</t>
  </si>
  <si>
    <t>Finish</t>
  </si>
  <si>
    <t>Finish checkout</t>
  </si>
  <si>
    <t>TC-033</t>
  </si>
  <si>
    <t>Checkout Complete</t>
  </si>
  <si>
    <t>Verify cart</t>
  </si>
  <si>
    <t>Cart cleared after successful order</t>
  </si>
  <si>
    <t>LOGOUT &amp; SESSION</t>
  </si>
  <si>
    <t>TC-034</t>
  </si>
  <si>
    <t>Logout &amp; Session</t>
  </si>
  <si>
    <t>Any Page</t>
  </si>
  <si>
    <t>Logout</t>
  </si>
  <si>
    <t>Logout via menu</t>
  </si>
  <si>
    <t>Logged in</t>
  </si>
  <si>
    <t>TC-035</t>
  </si>
  <si>
    <t>Browser</t>
  </si>
  <si>
    <t>Back navigation</t>
  </si>
  <si>
    <t>Back navigation after logout</t>
  </si>
  <si>
    <t>Just logged out</t>
  </si>
  <si>
    <t>TC-036</t>
  </si>
  <si>
    <t>Direct URL access</t>
  </si>
  <si>
    <t>Direct URL access without login</t>
  </si>
  <si>
    <t>Not logged in (or after logout)</t>
  </si>
  <si>
    <t>TC-037</t>
  </si>
  <si>
    <t>Reset state</t>
  </si>
  <si>
    <t>Reset App State</t>
  </si>
  <si>
    <t>Logged in, with items in cart</t>
  </si>
  <si>
    <t>1. Open hamburger menu.
2. Click 'Reset App State'.</t>
  </si>
  <si>
    <t>Sauce Demo – UI Test Case Repository</t>
  </si>
  <si>
    <t>User is redirected to Products page, 6 items listed.</t>
  </si>
  <si>
    <t>1. Enter username (standard_user) and password (secret_sauce)
2. Click Login.</t>
  </si>
  <si>
    <t>1. Enter username (locked_out_user) and password (secret_sauce
2. Click Login</t>
  </si>
  <si>
    <t>1. Enter made-up username/password
2. Click Login</t>
  </si>
  <si>
    <t>Error: 'Epic sadface: Username and password do not match any user in this service'</t>
  </si>
  <si>
    <t>Error: 'Epic sadface: Username is required'</t>
  </si>
  <si>
    <t>Error: 'Epic sadface: Password is required'</t>
  </si>
  <si>
    <t>Error: 'Epic sadface: Username is required' (validated first)</t>
  </si>
  <si>
    <t>1. Leave username blank
2. Enter any password
3. Click Login</t>
  </si>
  <si>
    <t>1. Enter valid username
2. Leave password blank
3. Click Login</t>
  </si>
  <si>
    <t>1. Leave both fields blank
2. Click Login</t>
  </si>
  <si>
    <t>1. Enter username (problem_user) and password (secret_sauce)
2. Click Login</t>
  </si>
  <si>
    <t>Login succeeds; reaches Products page. Record any visual defects for later cases</t>
  </si>
  <si>
    <t>1. Enter username (performance_glitch_user) and password (secret_sauce)
2. Click Login</t>
  </si>
  <si>
    <t>Login eventually succeeds with a noticeable delay vs. standard_user</t>
  </si>
  <si>
    <t>Error message closes; form ready for a new attempt</t>
  </si>
  <si>
    <t>1. Observe the Products page</t>
  </si>
  <si>
    <t>1. Click a product's image or name</t>
  </si>
  <si>
    <t>Redirected to product detail page with matching name, description, price, image, and 'Back to products' link</t>
  </si>
  <si>
    <t>All 6 products shown, each with image, name, description, price, 'Add to cart' button</t>
  </si>
  <si>
    <t>Products reordered alphabetically ascending by name</t>
  </si>
  <si>
    <t>Products reordered alphabetically descending by name</t>
  </si>
  <si>
    <t>1. Open sort dropdown
2. Select 'Price (low to high)'</t>
  </si>
  <si>
    <t>1. Open sort dropdown
2. Select 'Price (high to low)'</t>
  </si>
  <si>
    <t>1. Repeat TC-012 to TC-015</t>
  </si>
  <si>
    <t>Products reordered by ascending price</t>
  </si>
  <si>
    <t>Products reordered by descending price</t>
  </si>
  <si>
    <t>1. Click 'Add to cart' on one product</t>
  </si>
  <si>
    <t>Button changes to 'Remove'; cart badge shows '1'</t>
  </si>
  <si>
    <t>1. Click 'Add to cart' on 3 different products</t>
  </si>
  <si>
    <t>Cart badge updates to '3'; all three buttons show 'Remove'</t>
  </si>
  <si>
    <t>1. Click 'Remove' on an item already in the cart</t>
  </si>
  <si>
    <t>Button reverts to 'Add to cart'; badge count decreases by 1 (or disappears if cart is empty)</t>
  </si>
  <si>
    <t>1. Click the cart icon</t>
  </si>
  <si>
    <t>Cart page opens, listing correct item(s) with name, price, and quantity</t>
  </si>
  <si>
    <t>Logged in as standard_user, on Products page</t>
  </si>
  <si>
    <t>Logged in as standard_user; At least one item in cart</t>
  </si>
  <si>
    <t>Logged in as standard_user; On Cart page, with items present</t>
  </si>
  <si>
    <t>Logged in as standard_user; On Cart page</t>
  </si>
  <si>
    <t>Logged in as standard_user; Cart is empty</t>
  </si>
  <si>
    <t>1. Click 'Remove' next to an item</t>
  </si>
  <si>
    <t>Item disappears from cart list; badge count updates accordingly</t>
  </si>
  <si>
    <t>1. Click 'Continue Shopping'</t>
  </si>
  <si>
    <t>User returned to Products page; cart contents unchanged</t>
  </si>
  <si>
    <t xml:space="preserve">Logged in as standard_user; tem(s) in cart </t>
  </si>
  <si>
    <t>1. Add an item to cart
2. Navigate to a product detail page and back</t>
  </si>
  <si>
    <t>Cart badge count remains the same; item still present when cart is opened</t>
  </si>
  <si>
    <t>Checkout' button present but leads to an empty order; no items listed. Document actual behavior</t>
  </si>
  <si>
    <t>1. Cart -&gt; Checkout.
2. Fill First Name, Last Name, Zip/Postal Code
3. Click Continue</t>
  </si>
  <si>
    <t>User reaches Checkout Overview page with item(s) and price breakdown (subtotal, tax, total)</t>
  </si>
  <si>
    <t>1. Leave First Name blank; fill other fields
2. Click Continue</t>
  </si>
  <si>
    <t>Error: 'Error: First Name is required'</t>
  </si>
  <si>
    <t>1. Leave Last Name blank; fill other fields.
2. Click Continue</t>
  </si>
  <si>
    <t>Error: 'Error: Last Name is required'</t>
  </si>
  <si>
    <t>Logged in as standard_user; On Checkout: Your Information page</t>
  </si>
  <si>
    <t>1. Leave Zip/Postal Code blank; fill other fields
2. Click Continue</t>
  </si>
  <si>
    <t>Error: 'Error: Postal Code is required'</t>
  </si>
  <si>
    <t>Logged in as standard_user; On Checkout Overview page</t>
  </si>
  <si>
    <t>Logged in as standard_user; Just completed checkout (TC-032)</t>
  </si>
  <si>
    <t>1. Click Cancel</t>
  </si>
  <si>
    <t>User returned to Cart page; cart contents unchanged</t>
  </si>
  <si>
    <t>1. Click Finish</t>
  </si>
  <si>
    <t>1. Note item price(s) shown
2. Verify Item total, Tax, and Total</t>
  </si>
  <si>
    <t>Item total equals sum of item prices; Total equals Item total + Tax, matching displayed values</t>
  </si>
  <si>
    <t>User returned to Products page; cart is preserved (not cleared)</t>
  </si>
  <si>
    <t>Checkout: Complete!' page shown with confirmation message and 'Back Home' button and 'Generate PDF order' button</t>
  </si>
  <si>
    <t>1. Click 'Back Home'
2. Check the cart icon</t>
  </si>
  <si>
    <t>Cart badge is gone (0 items); cart is empty when opened</t>
  </si>
  <si>
    <t>1. Click the hamburger menu
2. Click Logout</t>
  </si>
  <si>
    <t>User redirected to login page; session is cleared</t>
  </si>
  <si>
    <t>1. Click the browser's Back button</t>
  </si>
  <si>
    <t>User cannot view Products page without logging in again (or is redirected to login)</t>
  </si>
  <si>
    <t>1. Navigate directly to https://www.saucedemo.com/inventory.html</t>
  </si>
  <si>
    <t>User is redirected to login page instead of seeing the inventory</t>
  </si>
  <si>
    <t>Cart is emptied; all 'Remove' buttons revert to 'Add to cart'; user stays logged in</t>
  </si>
  <si>
    <t>Bug validation</t>
  </si>
  <si>
    <t>UI / Usability</t>
  </si>
  <si>
    <t>1. Click the product sort dropdown
2. Select 'Name (A to Z)'</t>
  </si>
  <si>
    <t>1. Click the product sort dropdown
2. Select 'Name (Z to A)'</t>
  </si>
  <si>
    <t>1. Go to Cart page
2. Click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</si>
</sst>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8"/>
      <name val="Calibri"/>
      <family val="2"/>
      <charset val="1"/>
    </font>
    <font>
      <b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D6E4F0"/>
      </patternFill>
    </fill>
    <fill>
      <patternFill patternType="solid">
        <fgColor rgb="FFD6E4F0"/>
        <bgColor rgb="FFDEEAF1"/>
      </patternFill>
    </fill>
    <fill>
      <patternFill patternType="solid">
        <fgColor rgb="FFBDBDBD"/>
        <bgColor rgb="FFB8CCE4"/>
      </patternFill>
    </fill>
    <fill>
      <patternFill patternType="solid">
        <fgColor rgb="FF4CAF50"/>
        <bgColor rgb="FF33CCCC"/>
      </patternFill>
    </fill>
    <fill>
      <patternFill patternType="solid">
        <fgColor rgb="FFF44336"/>
        <bgColor rgb="FFFF643F"/>
      </patternFill>
    </fill>
    <fill>
      <patternFill patternType="solid">
        <fgColor rgb="FFFF9800"/>
        <bgColor rgb="FFFFCC00"/>
      </patternFill>
    </fill>
    <fill>
      <patternFill patternType="solid">
        <fgColor theme="4" tint="-0.249977111117893"/>
        <bgColor rgb="FF666699"/>
      </patternFill>
    </fill>
    <fill>
      <patternFill patternType="solid">
        <fgColor theme="4" tint="-0.249977111117893"/>
        <bgColor rgb="FF0066CC"/>
      </patternFill>
    </fill>
    <fill>
      <patternFill patternType="solid">
        <fgColor theme="4" tint="-0.249977111117893"/>
        <bgColor rgb="FF1F3864"/>
      </patternFill>
    </fill>
  </fills>
  <borders count="3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9" fontId="7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6" fillId="4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12" fillId="9" borderId="2" xfId="0" applyFont="1" applyFill="1" applyBorder="1" applyAlignment="1">
      <alignment horizontal="center" vertical="center" wrapText="1"/>
    </xf>
    <xf numFmtId="0" fontId="0" fillId="0" borderId="0" xfId="0"/>
    <xf numFmtId="0" fontId="11" fillId="11" borderId="0" xfId="0" applyFont="1" applyFill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0" borderId="2" xfId="0" quotePrefix="1" applyFont="1" applyBorder="1" applyAlignment="1">
      <alignment horizontal="left" vertical="center" wrapText="1"/>
    </xf>
  </cellXfs>
  <cellStyles count="1">
    <cellStyle name="Normal" xfId="0" builtinId="0"/>
  </cellStyles>
  <dxfs count="26">
    <dxf>
      <fill>
        <patternFill>
          <bgColor theme="6" tint="0.39988402966399123"/>
        </patternFill>
      </fill>
    </dxf>
    <dxf>
      <fill>
        <patternFill>
          <bgColor rgb="FFFF643F"/>
        </patternFill>
      </fill>
    </dxf>
    <dxf>
      <fill>
        <patternFill>
          <bgColor theme="8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rgb="FFFF643F"/>
        </patternFill>
      </fill>
    </dxf>
    <dxf>
      <fill>
        <patternFill>
          <bgColor theme="8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rgb="FFFF643F"/>
        </patternFill>
      </fill>
    </dxf>
    <dxf>
      <fill>
        <patternFill>
          <bgColor theme="8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theme="8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rgb="FFFF643F"/>
        </patternFill>
      </fill>
    </dxf>
    <dxf>
      <fill>
        <patternFill>
          <bgColor theme="8" tint="0.59987182226020086"/>
        </patternFill>
      </fill>
    </dxf>
    <dxf>
      <fill>
        <patternFill>
          <bgColor rgb="FFFF643F"/>
        </patternFill>
      </fill>
    </dxf>
    <dxf>
      <fill>
        <patternFill>
          <bgColor theme="9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rgb="FFFF643F"/>
        </patternFill>
      </fill>
    </dxf>
    <dxf>
      <fill>
        <patternFill>
          <bgColor theme="9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rgb="FFFF643F"/>
        </patternFill>
      </fill>
    </dxf>
    <dxf>
      <fill>
        <patternFill>
          <bgColor theme="9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rgb="FFFF643F"/>
        </patternFill>
      </fill>
    </dxf>
    <dxf>
      <fill>
        <patternFill>
          <bgColor theme="9" tint="0.39988402966399123"/>
        </patternFill>
      </fill>
    </dxf>
    <dxf>
      <fill>
        <patternFill>
          <bgColor theme="6" tint="0.3998840296639912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FCC"/>
      <rgbColor rgb="FFDEEAF1"/>
      <rgbColor rgb="FF660066"/>
      <rgbColor rgb="FFF44336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3D69B"/>
      <rgbColor rgb="FFFFFF99"/>
      <rgbColor rgb="FFB7DEE8"/>
      <rgbColor rgb="FFFF99CC"/>
      <rgbColor rgb="FFCC99FF"/>
      <rgbColor rgb="FFFAC090"/>
      <rgbColor rgb="FF2E75B6"/>
      <rgbColor rgb="FF33CCCC"/>
      <rgbColor rgb="FF99CC00"/>
      <rgbColor rgb="FFFFCC00"/>
      <rgbColor rgb="FFFF9800"/>
      <rgbColor rgb="FFFF643F"/>
      <rgbColor rgb="FF666699"/>
      <rgbColor rgb="FF969696"/>
      <rgbColor rgb="FF003366"/>
      <rgbColor rgb="FF4CAF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SereveRest - Tests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Summary!$A$3</c:f>
              <c:strCache>
                <c:ptCount val="1"/>
                <c:pt idx="0">
                  <c:v>LOGIN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Summary!$B$2:$E$2</c:f>
              <c:strCache>
                <c:ptCount val="4"/>
                <c:pt idx="0">
                  <c:v>Total TCs</c:v>
                </c:pt>
                <c:pt idx="1">
                  <c:v>Not Executed</c:v>
                </c:pt>
                <c:pt idx="2">
                  <c:v>Passed</c:v>
                </c:pt>
                <c:pt idx="3">
                  <c:v>Failed</c:v>
                </c:pt>
              </c:strCache>
              <c:extLst/>
            </c:strRef>
          </c:cat>
          <c:val>
            <c:numRef>
              <c:f>Summary!$B$3:$E$3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9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D859-4E85-BF36-C7FE103667B8}"/>
            </c:ext>
          </c:extLst>
        </c:ser>
        <c:ser>
          <c:idx val="1"/>
          <c:order val="1"/>
          <c:tx>
            <c:strRef>
              <c:f>Summary!$A$4</c:f>
              <c:strCache>
                <c:ptCount val="1"/>
                <c:pt idx="0">
                  <c:v>Users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Summary!$B$2:$E$2</c:f>
              <c:strCache>
                <c:ptCount val="4"/>
                <c:pt idx="0">
                  <c:v>Total TCs</c:v>
                </c:pt>
                <c:pt idx="1">
                  <c:v>Not Executed</c:v>
                </c:pt>
                <c:pt idx="2">
                  <c:v>Passed</c:v>
                </c:pt>
                <c:pt idx="3">
                  <c:v>Failed</c:v>
                </c:pt>
              </c:strCache>
              <c:extLst/>
            </c:strRef>
          </c:cat>
          <c:val>
            <c:numRef>
              <c:f>Summary!$B$4:$E$4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D859-4E85-BF36-C7FE103667B8}"/>
            </c:ext>
          </c:extLst>
        </c:ser>
        <c:ser>
          <c:idx val="2"/>
          <c:order val="2"/>
          <c:tx>
            <c:strRef>
              <c:f>Summary!$A$5</c:f>
              <c:strCache>
                <c:ptCount val="1"/>
                <c:pt idx="0">
                  <c:v>Products</c:v>
                </c:pt>
              </c:strCache>
            </c:strRef>
          </c:tx>
          <c:spPr>
            <a:gradFill>
              <a:gsLst>
                <a:gs pos="0">
                  <a:schemeClr val="accent3">
                    <a:shade val="51000"/>
                  </a:schemeClr>
                </a:gs>
                <a:gs pos="80000">
                  <a:schemeClr val="accent3">
                    <a:shade val="93000"/>
                  </a:schemeClr>
                </a:gs>
                <a:gs pos="100000">
                  <a:schemeClr val="accent3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Summary!$B$2:$E$2</c:f>
              <c:strCache>
                <c:ptCount val="4"/>
                <c:pt idx="0">
                  <c:v>Total TCs</c:v>
                </c:pt>
                <c:pt idx="1">
                  <c:v>Not Executed</c:v>
                </c:pt>
                <c:pt idx="2">
                  <c:v>Passed</c:v>
                </c:pt>
                <c:pt idx="3">
                  <c:v>Failed</c:v>
                </c:pt>
              </c:strCache>
              <c:extLst/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D859-4E85-BF36-C7FE103667B8}"/>
            </c:ext>
          </c:extLst>
        </c:ser>
        <c:ser>
          <c:idx val="3"/>
          <c:order val="3"/>
          <c:tx>
            <c:strRef>
              <c:f>Summary!$A$6</c:f>
              <c:strCache>
                <c:ptCount val="1"/>
                <c:pt idx="0">
                  <c:v>Carts</c:v>
                </c:pt>
              </c:strCache>
            </c:strRef>
          </c:tx>
          <c:spPr>
            <a:gradFill>
              <a:gsLst>
                <a:gs pos="0">
                  <a:schemeClr val="accent4">
                    <a:shade val="51000"/>
                  </a:schemeClr>
                </a:gs>
                <a:gs pos="80000">
                  <a:schemeClr val="accent4">
                    <a:shade val="93000"/>
                  </a:schemeClr>
                </a:gs>
                <a:gs pos="100000">
                  <a:schemeClr val="accent4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Summary!$B$2:$E$2</c:f>
              <c:strCache>
                <c:ptCount val="4"/>
                <c:pt idx="0">
                  <c:v>Total TCs</c:v>
                </c:pt>
                <c:pt idx="1">
                  <c:v>Not Executed</c:v>
                </c:pt>
                <c:pt idx="2">
                  <c:v>Passed</c:v>
                </c:pt>
                <c:pt idx="3">
                  <c:v>Failed</c:v>
                </c:pt>
              </c:strCache>
              <c:extLst/>
            </c:strRef>
          </c:cat>
          <c:val>
            <c:numRef>
              <c:f>Summary!$B$6:$E$6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D859-4E85-BF36-C7FE103667B8}"/>
            </c:ext>
          </c:extLst>
        </c:ser>
        <c:ser>
          <c:idx val="4"/>
          <c:order val="4"/>
          <c:tx>
            <c:strRef>
              <c:f>Summary!$A$7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5">
                    <a:shade val="51000"/>
                  </a:schemeClr>
                </a:gs>
                <a:gs pos="80000">
                  <a:schemeClr val="accent5">
                    <a:shade val="93000"/>
                  </a:schemeClr>
                </a:gs>
                <a:gs pos="100000">
                  <a:schemeClr val="accent5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Summary!$B$2:$E$2</c:f>
              <c:strCache>
                <c:ptCount val="4"/>
                <c:pt idx="0">
                  <c:v>Total TCs</c:v>
                </c:pt>
                <c:pt idx="1">
                  <c:v>Not Executed</c:v>
                </c:pt>
                <c:pt idx="2">
                  <c:v>Passed</c:v>
                </c:pt>
                <c:pt idx="3">
                  <c:v>Failed</c:v>
                </c:pt>
              </c:strCache>
              <c:extLst/>
            </c:strRef>
          </c:cat>
          <c:val>
            <c:numRef>
              <c:f>Summary!$B$7:$E$7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9</c:v>
                </c:pt>
                <c:pt idx="3">
                  <c:v>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D859-4E85-BF36-C7FE103667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324303"/>
        <c:axId val="81327663"/>
        <c:axId val="0"/>
      </c:bar3DChart>
      <c:catAx>
        <c:axId val="81324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7663"/>
        <c:crosses val="autoZero"/>
        <c:auto val="1"/>
        <c:lblAlgn val="ctr"/>
        <c:lblOffset val="100"/>
        <c:noMultiLvlLbl val="0"/>
      </c:catAx>
      <c:valAx>
        <c:axId val="8132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4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828674</xdr:colOff>
      <xdr:row>0</xdr:row>
      <xdr:rowOff>0</xdr:rowOff>
    </xdr:from>
    <xdr:to>
      <xdr:col>16</xdr:col>
      <xdr:colOff>450849</xdr:colOff>
      <xdr:row>20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887119-859B-193F-F144-DA0FF191A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zoomScale="70" zoomScaleNormal="70" workbookViewId="0">
      <pane ySplit="2" topLeftCell="A3" activePane="bottomLeft" state="frozen"/>
      <selection pane="bottomLeft" activeCell="E46" sqref="E46"/>
    </sheetView>
  </sheetViews>
  <sheetFormatPr defaultColWidth="8.6328125" defaultRowHeight="14.5" x14ac:dyDescent="0.35"/>
  <cols>
    <col min="1" max="1" width="10" customWidth="1"/>
    <col min="2" max="2" width="12.7265625" customWidth="1"/>
    <col min="3" max="3" width="26" customWidth="1"/>
    <col min="4" max="4" width="10" customWidth="1"/>
    <col min="5" max="5" width="42" customWidth="1"/>
    <col min="6" max="6" width="24.81640625" customWidth="1"/>
    <col min="7" max="7" width="32" customWidth="1"/>
    <col min="8" max="8" width="33.81640625" customWidth="1"/>
    <col min="9" max="9" width="27.26953125" customWidth="1"/>
    <col min="10" max="10" width="12.453125" style="26" bestFit="1" customWidth="1"/>
    <col min="11" max="11" width="14" style="26" customWidth="1"/>
  </cols>
  <sheetData>
    <row r="1" spans="1:11" ht="30" customHeight="1" x14ac:dyDescent="0.35">
      <c r="A1" s="24" t="s">
        <v>153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36" customHeight="1" x14ac:dyDescent="0.35">
      <c r="A2" s="22" t="s">
        <v>0</v>
      </c>
      <c r="B2" s="22" t="s">
        <v>1</v>
      </c>
      <c r="C2" s="22" t="s">
        <v>38</v>
      </c>
      <c r="D2" s="22" t="s">
        <v>39</v>
      </c>
      <c r="E2" s="22" t="s">
        <v>2</v>
      </c>
      <c r="F2" s="22" t="s">
        <v>3</v>
      </c>
      <c r="G2" s="22" t="s">
        <v>4</v>
      </c>
      <c r="H2" s="22" t="s">
        <v>40</v>
      </c>
      <c r="I2" s="22" t="s">
        <v>5</v>
      </c>
      <c r="J2" s="22" t="s">
        <v>6</v>
      </c>
      <c r="K2" s="22" t="s">
        <v>7</v>
      </c>
    </row>
    <row r="3" spans="1:11" ht="20" customHeight="1" x14ac:dyDescent="0.35">
      <c r="A3" s="21" t="s">
        <v>8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 ht="42" customHeight="1" x14ac:dyDescent="0.35">
      <c r="A4" s="27" t="s">
        <v>9</v>
      </c>
      <c r="B4" s="25" t="s">
        <v>34</v>
      </c>
      <c r="C4" s="25" t="s">
        <v>35</v>
      </c>
      <c r="D4" s="25" t="s">
        <v>34</v>
      </c>
      <c r="E4" s="25" t="s">
        <v>36</v>
      </c>
      <c r="F4" s="25" t="s">
        <v>10</v>
      </c>
      <c r="G4" s="25" t="s">
        <v>37</v>
      </c>
      <c r="H4" s="25" t="s">
        <v>155</v>
      </c>
      <c r="I4" s="25" t="s">
        <v>154</v>
      </c>
      <c r="J4" s="27" t="s">
        <v>11</v>
      </c>
      <c r="K4" s="27" t="s">
        <v>12</v>
      </c>
    </row>
    <row r="5" spans="1:11" ht="42" customHeight="1" x14ac:dyDescent="0.35">
      <c r="A5" s="27" t="s">
        <v>13</v>
      </c>
      <c r="B5" s="25" t="s">
        <v>34</v>
      </c>
      <c r="C5" s="25" t="s">
        <v>35</v>
      </c>
      <c r="D5" s="25" t="s">
        <v>34</v>
      </c>
      <c r="E5" s="25" t="s">
        <v>41</v>
      </c>
      <c r="F5" s="25" t="s">
        <v>43</v>
      </c>
      <c r="G5" s="25" t="s">
        <v>48</v>
      </c>
      <c r="H5" s="25" t="s">
        <v>156</v>
      </c>
      <c r="I5" s="25" t="s">
        <v>42</v>
      </c>
      <c r="J5" s="27" t="s">
        <v>11</v>
      </c>
      <c r="K5" s="27" t="s">
        <v>12</v>
      </c>
    </row>
    <row r="6" spans="1:11" ht="42" customHeight="1" x14ac:dyDescent="0.35">
      <c r="A6" s="27" t="s">
        <v>14</v>
      </c>
      <c r="B6" s="25" t="s">
        <v>34</v>
      </c>
      <c r="C6" s="25" t="s">
        <v>35</v>
      </c>
      <c r="D6" s="25" t="s">
        <v>34</v>
      </c>
      <c r="E6" s="25" t="s">
        <v>49</v>
      </c>
      <c r="F6" s="25" t="s">
        <v>43</v>
      </c>
      <c r="G6" s="25" t="s">
        <v>48</v>
      </c>
      <c r="H6" s="25" t="s">
        <v>157</v>
      </c>
      <c r="I6" s="25" t="s">
        <v>158</v>
      </c>
      <c r="J6" s="27" t="s">
        <v>11</v>
      </c>
      <c r="K6" s="27" t="s">
        <v>12</v>
      </c>
    </row>
    <row r="7" spans="1:11" ht="37.5" x14ac:dyDescent="0.35">
      <c r="A7" s="27" t="s">
        <v>15</v>
      </c>
      <c r="B7" s="25" t="s">
        <v>34</v>
      </c>
      <c r="C7" s="25" t="s">
        <v>35</v>
      </c>
      <c r="D7" s="25" t="s">
        <v>34</v>
      </c>
      <c r="E7" s="25" t="s">
        <v>51</v>
      </c>
      <c r="F7" s="25" t="s">
        <v>43</v>
      </c>
      <c r="G7" s="25" t="s">
        <v>48</v>
      </c>
      <c r="H7" s="25" t="s">
        <v>162</v>
      </c>
      <c r="I7" s="25" t="s">
        <v>159</v>
      </c>
      <c r="J7" s="27" t="s">
        <v>44</v>
      </c>
      <c r="K7" s="27" t="s">
        <v>12</v>
      </c>
    </row>
    <row r="8" spans="1:11" ht="42" customHeight="1" x14ac:dyDescent="0.35">
      <c r="A8" s="27" t="s">
        <v>16</v>
      </c>
      <c r="B8" s="25" t="s">
        <v>34</v>
      </c>
      <c r="C8" s="25" t="s">
        <v>35</v>
      </c>
      <c r="D8" s="25" t="s">
        <v>34</v>
      </c>
      <c r="E8" s="25" t="s">
        <v>50</v>
      </c>
      <c r="F8" s="25" t="s">
        <v>43</v>
      </c>
      <c r="G8" s="25" t="s">
        <v>48</v>
      </c>
      <c r="H8" s="25" t="s">
        <v>163</v>
      </c>
      <c r="I8" s="25" t="s">
        <v>160</v>
      </c>
      <c r="J8" s="27" t="s">
        <v>44</v>
      </c>
      <c r="K8" s="27" t="s">
        <v>12</v>
      </c>
    </row>
    <row r="9" spans="1:11" ht="42" customHeight="1" x14ac:dyDescent="0.35">
      <c r="A9" s="27" t="s">
        <v>17</v>
      </c>
      <c r="B9" s="25" t="s">
        <v>34</v>
      </c>
      <c r="C9" s="25" t="s">
        <v>35</v>
      </c>
      <c r="D9" s="25" t="s">
        <v>34</v>
      </c>
      <c r="E9" s="25" t="s">
        <v>52</v>
      </c>
      <c r="F9" s="25" t="s">
        <v>43</v>
      </c>
      <c r="G9" s="25" t="s">
        <v>48</v>
      </c>
      <c r="H9" s="25" t="s">
        <v>164</v>
      </c>
      <c r="I9" s="25" t="s">
        <v>161</v>
      </c>
      <c r="J9" s="27" t="s">
        <v>47</v>
      </c>
      <c r="K9" s="27" t="s">
        <v>12</v>
      </c>
    </row>
    <row r="10" spans="1:11" s="23" customFormat="1" ht="41.5" customHeight="1" x14ac:dyDescent="0.35">
      <c r="A10" s="27" t="s">
        <v>18</v>
      </c>
      <c r="B10" s="25" t="s">
        <v>34</v>
      </c>
      <c r="C10" s="25" t="s">
        <v>35</v>
      </c>
      <c r="D10" s="25" t="s">
        <v>34</v>
      </c>
      <c r="E10" s="25" t="s">
        <v>45</v>
      </c>
      <c r="F10" s="25" t="s">
        <v>229</v>
      </c>
      <c r="G10" s="25" t="s">
        <v>48</v>
      </c>
      <c r="H10" s="25" t="s">
        <v>165</v>
      </c>
      <c r="I10" s="25" t="s">
        <v>166</v>
      </c>
      <c r="J10" s="27" t="s">
        <v>44</v>
      </c>
      <c r="K10" s="27" t="s">
        <v>12</v>
      </c>
    </row>
    <row r="11" spans="1:11" s="23" customFormat="1" ht="55.5" customHeight="1" x14ac:dyDescent="0.35">
      <c r="A11" s="27" t="s">
        <v>56</v>
      </c>
      <c r="B11" s="25" t="s">
        <v>34</v>
      </c>
      <c r="C11" s="25" t="s">
        <v>35</v>
      </c>
      <c r="D11" s="25" t="s">
        <v>34</v>
      </c>
      <c r="E11" s="25" t="s">
        <v>46</v>
      </c>
      <c r="F11" s="25" t="s">
        <v>229</v>
      </c>
      <c r="G11" s="25" t="s">
        <v>48</v>
      </c>
      <c r="H11" s="25" t="s">
        <v>167</v>
      </c>
      <c r="I11" s="25" t="s">
        <v>168</v>
      </c>
      <c r="J11" s="27" t="s">
        <v>47</v>
      </c>
      <c r="K11" s="27" t="s">
        <v>12</v>
      </c>
    </row>
    <row r="12" spans="1:11" ht="42" customHeight="1" x14ac:dyDescent="0.35">
      <c r="A12" s="27" t="s">
        <v>57</v>
      </c>
      <c r="B12" s="25" t="s">
        <v>34</v>
      </c>
      <c r="C12" s="25" t="s">
        <v>35</v>
      </c>
      <c r="D12" s="25" t="s">
        <v>34</v>
      </c>
      <c r="E12" s="25" t="s">
        <v>53</v>
      </c>
      <c r="F12" s="25" t="s">
        <v>230</v>
      </c>
      <c r="G12" s="25" t="s">
        <v>54</v>
      </c>
      <c r="H12" s="25" t="s">
        <v>55</v>
      </c>
      <c r="I12" s="25" t="s">
        <v>169</v>
      </c>
      <c r="J12" s="27" t="s">
        <v>47</v>
      </c>
      <c r="K12" s="27" t="s">
        <v>12</v>
      </c>
    </row>
    <row r="13" spans="1:11" ht="20" customHeight="1" x14ac:dyDescent="0.35">
      <c r="A13" s="21" t="s">
        <v>58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47" customHeight="1" x14ac:dyDescent="0.35">
      <c r="A14" s="27" t="s">
        <v>59</v>
      </c>
      <c r="B14" s="25" t="s">
        <v>61</v>
      </c>
      <c r="C14" s="25" t="s">
        <v>62</v>
      </c>
      <c r="D14" s="25" t="s">
        <v>63</v>
      </c>
      <c r="E14" s="25" t="s">
        <v>64</v>
      </c>
      <c r="F14" s="25" t="s">
        <v>10</v>
      </c>
      <c r="G14" s="25" t="s">
        <v>65</v>
      </c>
      <c r="H14" s="25" t="s">
        <v>170</v>
      </c>
      <c r="I14" s="25" t="s">
        <v>173</v>
      </c>
      <c r="J14" s="27" t="s">
        <v>11</v>
      </c>
      <c r="K14" s="27" t="s">
        <v>12</v>
      </c>
    </row>
    <row r="15" spans="1:11" ht="64" customHeight="1" x14ac:dyDescent="0.35">
      <c r="A15" s="27" t="s">
        <v>60</v>
      </c>
      <c r="B15" s="25" t="s">
        <v>61</v>
      </c>
      <c r="C15" s="25" t="s">
        <v>62</v>
      </c>
      <c r="D15" s="25" t="s">
        <v>66</v>
      </c>
      <c r="E15" s="25" t="s">
        <v>67</v>
      </c>
      <c r="F15" s="25" t="s">
        <v>10</v>
      </c>
      <c r="G15" s="25" t="s">
        <v>65</v>
      </c>
      <c r="H15" s="25" t="s">
        <v>171</v>
      </c>
      <c r="I15" s="25" t="s">
        <v>172</v>
      </c>
      <c r="J15" s="27" t="s">
        <v>44</v>
      </c>
      <c r="K15" s="27" t="s">
        <v>12</v>
      </c>
    </row>
    <row r="16" spans="1:11" ht="42" customHeight="1" x14ac:dyDescent="0.35">
      <c r="A16" s="27" t="s">
        <v>68</v>
      </c>
      <c r="B16" s="25" t="s">
        <v>61</v>
      </c>
      <c r="C16" s="25" t="s">
        <v>62</v>
      </c>
      <c r="D16" s="25" t="s">
        <v>69</v>
      </c>
      <c r="E16" s="25" t="s">
        <v>70</v>
      </c>
      <c r="F16" s="25" t="s">
        <v>10</v>
      </c>
      <c r="G16" s="25" t="s">
        <v>65</v>
      </c>
      <c r="H16" s="25" t="s">
        <v>231</v>
      </c>
      <c r="I16" s="25" t="s">
        <v>174</v>
      </c>
      <c r="J16" s="27" t="s">
        <v>44</v>
      </c>
      <c r="K16" s="27" t="s">
        <v>12</v>
      </c>
    </row>
    <row r="17" spans="1:11" ht="42" customHeight="1" x14ac:dyDescent="0.35">
      <c r="A17" s="27" t="s">
        <v>71</v>
      </c>
      <c r="B17" s="25" t="s">
        <v>61</v>
      </c>
      <c r="C17" s="25" t="s">
        <v>62</v>
      </c>
      <c r="D17" s="25" t="s">
        <v>69</v>
      </c>
      <c r="E17" s="25" t="s">
        <v>72</v>
      </c>
      <c r="F17" s="25" t="s">
        <v>10</v>
      </c>
      <c r="G17" s="25" t="s">
        <v>65</v>
      </c>
      <c r="H17" s="25" t="s">
        <v>232</v>
      </c>
      <c r="I17" s="25" t="s">
        <v>175</v>
      </c>
      <c r="J17" s="27" t="s">
        <v>44</v>
      </c>
      <c r="K17" s="27" t="s">
        <v>12</v>
      </c>
    </row>
    <row r="18" spans="1:11" ht="42" customHeight="1" x14ac:dyDescent="0.35">
      <c r="A18" s="27" t="s">
        <v>73</v>
      </c>
      <c r="B18" s="25" t="s">
        <v>61</v>
      </c>
      <c r="C18" s="25" t="s">
        <v>62</v>
      </c>
      <c r="D18" s="25" t="s">
        <v>69</v>
      </c>
      <c r="E18" s="25" t="s">
        <v>74</v>
      </c>
      <c r="F18" s="25" t="s">
        <v>10</v>
      </c>
      <c r="G18" s="25" t="s">
        <v>65</v>
      </c>
      <c r="H18" s="25" t="s">
        <v>176</v>
      </c>
      <c r="I18" s="25" t="s">
        <v>179</v>
      </c>
      <c r="J18" s="27" t="s">
        <v>44</v>
      </c>
      <c r="K18" s="27" t="s">
        <v>12</v>
      </c>
    </row>
    <row r="19" spans="1:11" ht="42" customHeight="1" x14ac:dyDescent="0.35">
      <c r="A19" s="27" t="s">
        <v>75</v>
      </c>
      <c r="B19" s="25" t="s">
        <v>61</v>
      </c>
      <c r="C19" s="25" t="s">
        <v>62</v>
      </c>
      <c r="D19" s="25" t="s">
        <v>69</v>
      </c>
      <c r="E19" s="25" t="s">
        <v>76</v>
      </c>
      <c r="F19" s="25" t="s">
        <v>10</v>
      </c>
      <c r="G19" s="25" t="s">
        <v>65</v>
      </c>
      <c r="H19" s="25" t="s">
        <v>177</v>
      </c>
      <c r="I19" s="25" t="s">
        <v>180</v>
      </c>
      <c r="J19" s="27" t="s">
        <v>44</v>
      </c>
      <c r="K19" s="27" t="s">
        <v>12</v>
      </c>
    </row>
    <row r="20" spans="1:11" ht="62.5" customHeight="1" x14ac:dyDescent="0.35">
      <c r="A20" s="27" t="s">
        <v>77</v>
      </c>
      <c r="B20" s="25" t="s">
        <v>61</v>
      </c>
      <c r="C20" s="25" t="s">
        <v>62</v>
      </c>
      <c r="D20" s="25" t="s">
        <v>69</v>
      </c>
      <c r="E20" s="25" t="s">
        <v>78</v>
      </c>
      <c r="F20" s="25" t="s">
        <v>229</v>
      </c>
      <c r="G20" s="25" t="s">
        <v>79</v>
      </c>
      <c r="H20" s="25" t="s">
        <v>178</v>
      </c>
      <c r="I20" s="25" t="s">
        <v>80</v>
      </c>
      <c r="J20" s="27" t="s">
        <v>44</v>
      </c>
      <c r="K20" s="27" t="s">
        <v>12</v>
      </c>
    </row>
    <row r="21" spans="1:11" ht="20" customHeight="1" x14ac:dyDescent="0.35">
      <c r="A21" s="21" t="s">
        <v>81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22" spans="1:11" ht="42" customHeight="1" x14ac:dyDescent="0.35">
      <c r="A22" s="27" t="s">
        <v>82</v>
      </c>
      <c r="B22" s="25" t="s">
        <v>83</v>
      </c>
      <c r="C22" s="25" t="s">
        <v>62</v>
      </c>
      <c r="D22" s="25" t="s">
        <v>84</v>
      </c>
      <c r="E22" s="25" t="s">
        <v>85</v>
      </c>
      <c r="F22" s="25" t="s">
        <v>10</v>
      </c>
      <c r="G22" s="25" t="s">
        <v>189</v>
      </c>
      <c r="H22" s="25" t="s">
        <v>181</v>
      </c>
      <c r="I22" s="25" t="s">
        <v>182</v>
      </c>
      <c r="J22" s="27" t="s">
        <v>11</v>
      </c>
      <c r="K22" s="27" t="s">
        <v>12</v>
      </c>
    </row>
    <row r="23" spans="1:11" ht="42" customHeight="1" x14ac:dyDescent="0.35">
      <c r="A23" s="27" t="s">
        <v>86</v>
      </c>
      <c r="B23" s="25" t="s">
        <v>83</v>
      </c>
      <c r="C23" s="25" t="s">
        <v>62</v>
      </c>
      <c r="D23" s="25" t="s">
        <v>84</v>
      </c>
      <c r="E23" s="25" t="s">
        <v>87</v>
      </c>
      <c r="F23" s="25" t="s">
        <v>10</v>
      </c>
      <c r="G23" s="25" t="s">
        <v>189</v>
      </c>
      <c r="H23" s="25" t="s">
        <v>183</v>
      </c>
      <c r="I23" s="25" t="s">
        <v>184</v>
      </c>
      <c r="J23" s="27" t="s">
        <v>11</v>
      </c>
      <c r="K23" s="27" t="s">
        <v>12</v>
      </c>
    </row>
    <row r="24" spans="1:11" ht="42" customHeight="1" x14ac:dyDescent="0.35">
      <c r="A24" s="27" t="s">
        <v>88</v>
      </c>
      <c r="B24" s="25" t="s">
        <v>83</v>
      </c>
      <c r="C24" s="25" t="s">
        <v>62</v>
      </c>
      <c r="D24" s="25" t="s">
        <v>89</v>
      </c>
      <c r="E24" s="25" t="s">
        <v>90</v>
      </c>
      <c r="F24" s="25" t="s">
        <v>10</v>
      </c>
      <c r="G24" s="25" t="s">
        <v>190</v>
      </c>
      <c r="H24" s="25" t="s">
        <v>185</v>
      </c>
      <c r="I24" s="25" t="s">
        <v>186</v>
      </c>
      <c r="J24" s="27" t="s">
        <v>11</v>
      </c>
      <c r="K24" s="27" t="s">
        <v>12</v>
      </c>
    </row>
    <row r="25" spans="1:11" ht="42" customHeight="1" x14ac:dyDescent="0.35">
      <c r="A25" s="27" t="s">
        <v>91</v>
      </c>
      <c r="B25" s="25" t="s">
        <v>83</v>
      </c>
      <c r="C25" s="25" t="s">
        <v>92</v>
      </c>
      <c r="D25" s="25" t="s">
        <v>93</v>
      </c>
      <c r="E25" s="25" t="s">
        <v>94</v>
      </c>
      <c r="F25" s="25" t="s">
        <v>10</v>
      </c>
      <c r="G25" s="25" t="s">
        <v>190</v>
      </c>
      <c r="H25" s="25" t="s">
        <v>187</v>
      </c>
      <c r="I25" s="25" t="s">
        <v>188</v>
      </c>
      <c r="J25" s="27" t="s">
        <v>11</v>
      </c>
      <c r="K25" s="27" t="s">
        <v>12</v>
      </c>
    </row>
    <row r="26" spans="1:11" ht="42" customHeight="1" x14ac:dyDescent="0.35">
      <c r="A26" s="27" t="s">
        <v>95</v>
      </c>
      <c r="B26" s="25" t="s">
        <v>83</v>
      </c>
      <c r="C26" s="25" t="s">
        <v>92</v>
      </c>
      <c r="D26" s="25" t="s">
        <v>89</v>
      </c>
      <c r="E26" s="25" t="s">
        <v>96</v>
      </c>
      <c r="F26" s="25" t="s">
        <v>10</v>
      </c>
      <c r="G26" s="25" t="s">
        <v>191</v>
      </c>
      <c r="H26" s="25" t="s">
        <v>194</v>
      </c>
      <c r="I26" s="25" t="s">
        <v>195</v>
      </c>
      <c r="J26" s="27" t="s">
        <v>44</v>
      </c>
      <c r="K26" s="27" t="s">
        <v>12</v>
      </c>
    </row>
    <row r="27" spans="1:11" ht="42" customHeight="1" x14ac:dyDescent="0.35">
      <c r="A27" s="27" t="s">
        <v>97</v>
      </c>
      <c r="B27" s="25" t="s">
        <v>83</v>
      </c>
      <c r="C27" s="25" t="s">
        <v>92</v>
      </c>
      <c r="D27" s="25" t="s">
        <v>66</v>
      </c>
      <c r="E27" s="25" t="s">
        <v>98</v>
      </c>
      <c r="F27" s="25" t="s">
        <v>10</v>
      </c>
      <c r="G27" s="25" t="s">
        <v>192</v>
      </c>
      <c r="H27" s="25" t="s">
        <v>196</v>
      </c>
      <c r="I27" s="25" t="s">
        <v>197</v>
      </c>
      <c r="J27" s="27" t="s">
        <v>47</v>
      </c>
      <c r="K27" s="27" t="s">
        <v>12</v>
      </c>
    </row>
    <row r="28" spans="1:11" ht="42" customHeight="1" x14ac:dyDescent="0.35">
      <c r="A28" s="27" t="s">
        <v>99</v>
      </c>
      <c r="B28" s="25" t="s">
        <v>83</v>
      </c>
      <c r="C28" s="25" t="s">
        <v>92</v>
      </c>
      <c r="D28" s="25" t="s">
        <v>66</v>
      </c>
      <c r="E28" s="25" t="s">
        <v>100</v>
      </c>
      <c r="F28" s="25" t="s">
        <v>10</v>
      </c>
      <c r="G28" s="25" t="s">
        <v>198</v>
      </c>
      <c r="H28" s="25" t="s">
        <v>199</v>
      </c>
      <c r="I28" s="25" t="s">
        <v>200</v>
      </c>
      <c r="J28" s="27" t="s">
        <v>44</v>
      </c>
      <c r="K28" s="27" t="s">
        <v>12</v>
      </c>
    </row>
    <row r="29" spans="1:11" ht="49" customHeight="1" x14ac:dyDescent="0.35">
      <c r="A29" s="27" t="s">
        <v>101</v>
      </c>
      <c r="B29" s="25" t="s">
        <v>83</v>
      </c>
      <c r="C29" s="25" t="s">
        <v>92</v>
      </c>
      <c r="D29" s="25" t="s">
        <v>102</v>
      </c>
      <c r="E29" s="25" t="s">
        <v>103</v>
      </c>
      <c r="F29" s="25" t="s">
        <v>43</v>
      </c>
      <c r="G29" s="25" t="s">
        <v>193</v>
      </c>
      <c r="H29" s="25" t="s">
        <v>233</v>
      </c>
      <c r="I29" s="28" t="s">
        <v>201</v>
      </c>
      <c r="J29" s="27" t="s">
        <v>47</v>
      </c>
      <c r="K29" s="27" t="s">
        <v>20</v>
      </c>
    </row>
    <row r="30" spans="1:11" ht="20" customHeight="1" x14ac:dyDescent="0.35">
      <c r="A30" s="21" t="s">
        <v>104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63.5" customHeight="1" x14ac:dyDescent="0.35">
      <c r="A31" s="27" t="s">
        <v>105</v>
      </c>
      <c r="B31" s="25" t="s">
        <v>106</v>
      </c>
      <c r="C31" s="25" t="s">
        <v>107</v>
      </c>
      <c r="D31" s="25" t="s">
        <v>108</v>
      </c>
      <c r="E31" s="25" t="s">
        <v>109</v>
      </c>
      <c r="F31" s="25" t="s">
        <v>10</v>
      </c>
      <c r="G31" s="25" t="s">
        <v>190</v>
      </c>
      <c r="H31" s="25" t="s">
        <v>202</v>
      </c>
      <c r="I31" s="25" t="s">
        <v>203</v>
      </c>
      <c r="J31" s="27" t="s">
        <v>11</v>
      </c>
      <c r="K31" s="27" t="s">
        <v>12</v>
      </c>
    </row>
    <row r="32" spans="1:11" ht="42" customHeight="1" x14ac:dyDescent="0.35">
      <c r="A32" s="27" t="s">
        <v>110</v>
      </c>
      <c r="B32" s="25" t="s">
        <v>106</v>
      </c>
      <c r="C32" s="25" t="s">
        <v>107</v>
      </c>
      <c r="D32" s="25" t="s">
        <v>108</v>
      </c>
      <c r="E32" s="25" t="s">
        <v>111</v>
      </c>
      <c r="F32" s="25" t="s">
        <v>43</v>
      </c>
      <c r="G32" s="25" t="s">
        <v>208</v>
      </c>
      <c r="H32" s="25" t="s">
        <v>204</v>
      </c>
      <c r="I32" s="25" t="s">
        <v>205</v>
      </c>
      <c r="J32" s="27" t="s">
        <v>44</v>
      </c>
      <c r="K32" s="27" t="s">
        <v>12</v>
      </c>
    </row>
    <row r="33" spans="1:11" ht="42" customHeight="1" x14ac:dyDescent="0.35">
      <c r="A33" s="27" t="s">
        <v>112</v>
      </c>
      <c r="B33" s="25" t="s">
        <v>106</v>
      </c>
      <c r="C33" s="25" t="s">
        <v>107</v>
      </c>
      <c r="D33" s="25" t="s">
        <v>108</v>
      </c>
      <c r="E33" s="25" t="s">
        <v>113</v>
      </c>
      <c r="F33" s="25" t="s">
        <v>43</v>
      </c>
      <c r="G33" s="25" t="s">
        <v>208</v>
      </c>
      <c r="H33" s="25" t="s">
        <v>206</v>
      </c>
      <c r="I33" s="25" t="s">
        <v>207</v>
      </c>
      <c r="J33" s="27" t="s">
        <v>44</v>
      </c>
      <c r="K33" s="27" t="s">
        <v>12</v>
      </c>
    </row>
    <row r="34" spans="1:11" ht="42" customHeight="1" x14ac:dyDescent="0.35">
      <c r="A34" s="27" t="s">
        <v>114</v>
      </c>
      <c r="B34" s="25" t="s">
        <v>106</v>
      </c>
      <c r="C34" s="25" t="s">
        <v>107</v>
      </c>
      <c r="D34" s="25" t="s">
        <v>108</v>
      </c>
      <c r="E34" s="25" t="s">
        <v>115</v>
      </c>
      <c r="F34" s="25" t="s">
        <v>43</v>
      </c>
      <c r="G34" s="25" t="s">
        <v>208</v>
      </c>
      <c r="H34" s="25" t="s">
        <v>209</v>
      </c>
      <c r="I34" s="25" t="s">
        <v>210</v>
      </c>
      <c r="J34" s="27" t="s">
        <v>44</v>
      </c>
      <c r="K34" s="27" t="s">
        <v>12</v>
      </c>
    </row>
    <row r="35" spans="1:11" ht="42" customHeight="1" x14ac:dyDescent="0.35">
      <c r="A35" s="27" t="s">
        <v>116</v>
      </c>
      <c r="B35" s="25" t="s">
        <v>106</v>
      </c>
      <c r="C35" s="25" t="s">
        <v>107</v>
      </c>
      <c r="D35" s="25" t="s">
        <v>117</v>
      </c>
      <c r="E35" s="25" t="s">
        <v>118</v>
      </c>
      <c r="F35" s="25" t="s">
        <v>10</v>
      </c>
      <c r="G35" s="25" t="s">
        <v>208</v>
      </c>
      <c r="H35" s="25" t="s">
        <v>213</v>
      </c>
      <c r="I35" s="25" t="s">
        <v>214</v>
      </c>
      <c r="J35" s="27" t="s">
        <v>47</v>
      </c>
      <c r="K35" s="27" t="s">
        <v>12</v>
      </c>
    </row>
    <row r="36" spans="1:11" ht="42" customHeight="1" x14ac:dyDescent="0.35">
      <c r="A36" s="27" t="s">
        <v>119</v>
      </c>
      <c r="B36" s="25" t="s">
        <v>106</v>
      </c>
      <c r="C36" s="25" t="s">
        <v>120</v>
      </c>
      <c r="D36" s="25" t="s">
        <v>121</v>
      </c>
      <c r="E36" s="25" t="s">
        <v>122</v>
      </c>
      <c r="F36" s="25" t="s">
        <v>10</v>
      </c>
      <c r="G36" s="25" t="s">
        <v>211</v>
      </c>
      <c r="H36" s="25" t="s">
        <v>216</v>
      </c>
      <c r="I36" s="25" t="s">
        <v>217</v>
      </c>
      <c r="J36" s="27" t="s">
        <v>11</v>
      </c>
      <c r="K36" s="27" t="s">
        <v>12</v>
      </c>
    </row>
    <row r="37" spans="1:11" ht="49.5" customHeight="1" x14ac:dyDescent="0.35">
      <c r="A37" s="27" t="s">
        <v>123</v>
      </c>
      <c r="B37" s="25" t="s">
        <v>106</v>
      </c>
      <c r="C37" s="25" t="s">
        <v>120</v>
      </c>
      <c r="D37" s="25" t="s">
        <v>117</v>
      </c>
      <c r="E37" s="25" t="s">
        <v>124</v>
      </c>
      <c r="F37" s="25" t="s">
        <v>10</v>
      </c>
      <c r="G37" s="25" t="s">
        <v>211</v>
      </c>
      <c r="H37" s="25" t="s">
        <v>213</v>
      </c>
      <c r="I37" s="25" t="s">
        <v>218</v>
      </c>
      <c r="J37" s="27" t="s">
        <v>47</v>
      </c>
      <c r="K37" s="27" t="s">
        <v>12</v>
      </c>
    </row>
    <row r="38" spans="1:11" ht="61" customHeight="1" x14ac:dyDescent="0.35">
      <c r="A38" s="27" t="s">
        <v>125</v>
      </c>
      <c r="B38" s="25" t="s">
        <v>106</v>
      </c>
      <c r="C38" s="25" t="s">
        <v>120</v>
      </c>
      <c r="D38" s="25" t="s">
        <v>126</v>
      </c>
      <c r="E38" s="25" t="s">
        <v>127</v>
      </c>
      <c r="F38" s="25" t="s">
        <v>10</v>
      </c>
      <c r="G38" s="25" t="s">
        <v>211</v>
      </c>
      <c r="H38" s="25" t="s">
        <v>215</v>
      </c>
      <c r="I38" s="28" t="s">
        <v>219</v>
      </c>
      <c r="J38" s="27" t="s">
        <v>11</v>
      </c>
      <c r="K38" s="27" t="s">
        <v>12</v>
      </c>
    </row>
    <row r="39" spans="1:11" ht="42" customHeight="1" x14ac:dyDescent="0.35">
      <c r="A39" s="27" t="s">
        <v>128</v>
      </c>
      <c r="B39" s="25" t="s">
        <v>106</v>
      </c>
      <c r="C39" s="25" t="s">
        <v>129</v>
      </c>
      <c r="D39" s="25" t="s">
        <v>130</v>
      </c>
      <c r="E39" s="25" t="s">
        <v>131</v>
      </c>
      <c r="F39" s="25" t="s">
        <v>10</v>
      </c>
      <c r="G39" s="25" t="s">
        <v>212</v>
      </c>
      <c r="H39" s="25" t="s">
        <v>220</v>
      </c>
      <c r="I39" s="25" t="s">
        <v>221</v>
      </c>
      <c r="J39" s="27" t="s">
        <v>44</v>
      </c>
      <c r="K39" s="27" t="s">
        <v>12</v>
      </c>
    </row>
    <row r="40" spans="1:11" ht="20" customHeight="1" x14ac:dyDescent="0.35">
      <c r="A40" s="21" t="s">
        <v>132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</row>
    <row r="41" spans="1:11" ht="42" customHeight="1" x14ac:dyDescent="0.35">
      <c r="A41" s="27" t="s">
        <v>133</v>
      </c>
      <c r="B41" s="25" t="s">
        <v>134</v>
      </c>
      <c r="C41" s="25" t="s">
        <v>135</v>
      </c>
      <c r="D41" s="25" t="s">
        <v>136</v>
      </c>
      <c r="E41" s="25" t="s">
        <v>137</v>
      </c>
      <c r="F41" s="25" t="s">
        <v>10</v>
      </c>
      <c r="G41" s="25" t="s">
        <v>138</v>
      </c>
      <c r="H41" s="25" t="s">
        <v>222</v>
      </c>
      <c r="I41" s="25" t="s">
        <v>223</v>
      </c>
      <c r="J41" s="27" t="s">
        <v>11</v>
      </c>
      <c r="K41" s="27" t="s">
        <v>12</v>
      </c>
    </row>
    <row r="42" spans="1:11" ht="42" customHeight="1" x14ac:dyDescent="0.35">
      <c r="A42" s="27" t="s">
        <v>139</v>
      </c>
      <c r="B42" s="25" t="s">
        <v>134</v>
      </c>
      <c r="C42" s="25" t="s">
        <v>140</v>
      </c>
      <c r="D42" s="25" t="s">
        <v>141</v>
      </c>
      <c r="E42" s="25" t="s">
        <v>142</v>
      </c>
      <c r="F42" s="25" t="s">
        <v>43</v>
      </c>
      <c r="G42" s="25" t="s">
        <v>143</v>
      </c>
      <c r="H42" s="25" t="s">
        <v>224</v>
      </c>
      <c r="I42" s="25" t="s">
        <v>225</v>
      </c>
      <c r="J42" s="27" t="s">
        <v>44</v>
      </c>
      <c r="K42" s="27" t="s">
        <v>12</v>
      </c>
    </row>
    <row r="43" spans="1:11" ht="42" customHeight="1" x14ac:dyDescent="0.35">
      <c r="A43" s="27" t="s">
        <v>144</v>
      </c>
      <c r="B43" s="25" t="s">
        <v>134</v>
      </c>
      <c r="C43" s="25" t="s">
        <v>140</v>
      </c>
      <c r="D43" s="25" t="s">
        <v>145</v>
      </c>
      <c r="E43" s="25" t="s">
        <v>146</v>
      </c>
      <c r="F43" s="25" t="s">
        <v>43</v>
      </c>
      <c r="G43" s="25" t="s">
        <v>147</v>
      </c>
      <c r="H43" s="25" t="s">
        <v>226</v>
      </c>
      <c r="I43" s="25" t="s">
        <v>227</v>
      </c>
      <c r="J43" s="27" t="s">
        <v>44</v>
      </c>
      <c r="K43" s="27" t="s">
        <v>12</v>
      </c>
    </row>
    <row r="44" spans="1:11" ht="42" customHeight="1" x14ac:dyDescent="0.35">
      <c r="A44" s="27" t="s">
        <v>148</v>
      </c>
      <c r="B44" s="25" t="s">
        <v>134</v>
      </c>
      <c r="C44" s="25" t="s">
        <v>135</v>
      </c>
      <c r="D44" s="25" t="s">
        <v>149</v>
      </c>
      <c r="E44" s="25" t="s">
        <v>150</v>
      </c>
      <c r="F44" s="25" t="s">
        <v>10</v>
      </c>
      <c r="G44" s="25" t="s">
        <v>151</v>
      </c>
      <c r="H44" s="25" t="s">
        <v>152</v>
      </c>
      <c r="I44" s="25" t="s">
        <v>228</v>
      </c>
      <c r="J44" s="27" t="s">
        <v>47</v>
      </c>
      <c r="K44" s="27" t="s">
        <v>12</v>
      </c>
    </row>
    <row r="45" spans="1:11" ht="42" customHeight="1" x14ac:dyDescent="0.35">
      <c r="A45" s="2"/>
      <c r="B45" s="3"/>
      <c r="C45" s="4"/>
      <c r="D45" s="5"/>
      <c r="E45" s="4"/>
      <c r="F45" s="3"/>
      <c r="G45" s="4"/>
      <c r="H45" s="4"/>
      <c r="I45" s="2"/>
      <c r="J45" s="5"/>
      <c r="K45" s="2"/>
    </row>
    <row r="46" spans="1:11" ht="42" customHeight="1" x14ac:dyDescent="0.35">
      <c r="A46" s="2"/>
      <c r="B46" s="3"/>
      <c r="C46" s="4"/>
      <c r="D46" s="5"/>
      <c r="E46" s="4"/>
      <c r="F46" s="3"/>
      <c r="G46" s="4"/>
      <c r="H46" s="4"/>
      <c r="I46" s="2"/>
      <c r="J46" s="5"/>
      <c r="K46" s="2"/>
    </row>
    <row r="47" spans="1:11" ht="42" customHeight="1" x14ac:dyDescent="0.35">
      <c r="A47" s="2"/>
      <c r="B47" s="3"/>
      <c r="C47" s="4"/>
      <c r="D47" s="5"/>
      <c r="E47" s="4"/>
      <c r="F47" s="3"/>
      <c r="G47" s="4"/>
      <c r="H47" s="4"/>
      <c r="I47" s="2"/>
      <c r="J47" s="5"/>
      <c r="K47" s="2"/>
    </row>
    <row r="48" spans="1:11" ht="42" customHeight="1" x14ac:dyDescent="0.35">
      <c r="A48" s="2"/>
      <c r="B48" s="3"/>
      <c r="C48" s="4"/>
      <c r="D48" s="5"/>
      <c r="E48" s="4"/>
      <c r="F48" s="3"/>
      <c r="G48" s="4"/>
      <c r="H48" s="4"/>
      <c r="I48" s="2"/>
      <c r="J48" s="5"/>
      <c r="K48" s="2"/>
    </row>
    <row r="49" spans="1:11" ht="42" customHeight="1" x14ac:dyDescent="0.35">
      <c r="A49" s="2"/>
      <c r="B49" s="3"/>
      <c r="C49" s="4"/>
      <c r="D49" s="5"/>
      <c r="E49" s="4"/>
      <c r="F49" s="3"/>
      <c r="G49" s="4"/>
      <c r="H49" s="4"/>
      <c r="I49" s="2"/>
      <c r="J49" s="5"/>
      <c r="K49" s="2"/>
    </row>
    <row r="50" spans="1:11" ht="42" customHeight="1" x14ac:dyDescent="0.35">
      <c r="A50" s="2"/>
      <c r="B50" s="3"/>
      <c r="C50" s="4"/>
      <c r="D50" s="5"/>
      <c r="E50" s="4"/>
      <c r="F50" s="3"/>
      <c r="G50" s="4"/>
      <c r="H50" s="4"/>
      <c r="I50" s="2"/>
      <c r="J50" s="5"/>
      <c r="K50" s="2"/>
    </row>
    <row r="51" spans="1:11" ht="42" customHeight="1" x14ac:dyDescent="0.35">
      <c r="A51" s="2"/>
      <c r="B51" s="3"/>
      <c r="C51" s="4"/>
      <c r="D51" s="5"/>
      <c r="E51" s="4"/>
      <c r="F51" s="3"/>
      <c r="G51" s="4"/>
      <c r="H51" s="4"/>
      <c r="I51" s="2"/>
      <c r="J51" s="5"/>
      <c r="K51" s="2"/>
    </row>
  </sheetData>
  <mergeCells count="6">
    <mergeCell ref="A1:K1"/>
    <mergeCell ref="A3:K3"/>
    <mergeCell ref="A13:K13"/>
    <mergeCell ref="A40:K40"/>
    <mergeCell ref="A21:K21"/>
    <mergeCell ref="A30:K30"/>
  </mergeCells>
  <phoneticPr fontId="13" type="noConversion"/>
  <conditionalFormatting sqref="J4:J12">
    <cfRule type="cellIs" dxfId="25" priority="26" operator="equal">
      <formula>"Low"</formula>
    </cfRule>
    <cfRule type="cellIs" dxfId="24" priority="27" operator="equal">
      <formula>"Medium"</formula>
    </cfRule>
    <cfRule type="cellIs" dxfId="23" priority="28" operator="equal">
      <formula>"High"</formula>
    </cfRule>
  </conditionalFormatting>
  <conditionalFormatting sqref="J14:J20 J22:J28">
    <cfRule type="cellIs" dxfId="22" priority="14" operator="equal">
      <formula>"Low"</formula>
    </cfRule>
    <cfRule type="cellIs" dxfId="21" priority="15" operator="equal">
      <formula>"Medium"</formula>
    </cfRule>
    <cfRule type="cellIs" dxfId="20" priority="16" operator="equal">
      <formula>"High"</formula>
    </cfRule>
  </conditionalFormatting>
  <conditionalFormatting sqref="J29 J31:J39">
    <cfRule type="cellIs" dxfId="19" priority="11" operator="equal">
      <formula>"Low"</formula>
    </cfRule>
    <cfRule type="cellIs" dxfId="18" priority="12" operator="equal">
      <formula>"Medium"</formula>
    </cfRule>
    <cfRule type="cellIs" dxfId="17" priority="13" operator="equal">
      <formula>"High"</formula>
    </cfRule>
  </conditionalFormatting>
  <conditionalFormatting sqref="J41:J51">
    <cfRule type="cellIs" dxfId="16" priority="8" operator="equal">
      <formula>"Low"</formula>
    </cfRule>
    <cfRule type="cellIs" dxfId="15" priority="9" operator="equal">
      <formula>"Medium"</formula>
    </cfRule>
    <cfRule type="cellIs" dxfId="14" priority="10" operator="equal">
      <formula>"High"</formula>
    </cfRule>
  </conditionalFormatting>
  <conditionalFormatting sqref="K4:K12">
    <cfRule type="cellIs" dxfId="13" priority="29" operator="equal">
      <formula>"Not Executed"</formula>
    </cfRule>
    <cfRule type="cellIs" dxfId="12" priority="30" operator="equal">
      <formula>"Failed"</formula>
    </cfRule>
    <cfRule type="cellIs" dxfId="11" priority="31" operator="equal">
      <formula>"Passed"</formula>
    </cfRule>
  </conditionalFormatting>
  <conditionalFormatting sqref="K14:K19 K22:K28">
    <cfRule type="cellIs" dxfId="10" priority="23" operator="equal">
      <formula>"Not Executed"</formula>
    </cfRule>
    <cfRule type="cellIs" dxfId="9" priority="25" operator="equal">
      <formula>"Passed"</formula>
    </cfRule>
  </conditionalFormatting>
  <conditionalFormatting sqref="K29 K31:K39">
    <cfRule type="cellIs" dxfId="8" priority="20" operator="equal">
      <formula>"Not Executed"</formula>
    </cfRule>
    <cfRule type="cellIs" dxfId="7" priority="21" operator="equal">
      <formula>"Failed"</formula>
    </cfRule>
    <cfRule type="cellIs" dxfId="6" priority="22" operator="equal">
      <formula>"Passed"</formula>
    </cfRule>
  </conditionalFormatting>
  <conditionalFormatting sqref="K41:K51">
    <cfRule type="cellIs" dxfId="5" priority="17" operator="equal">
      <formula>"Not Executed"</formula>
    </cfRule>
    <cfRule type="cellIs" dxfId="4" priority="18" operator="equal">
      <formula>"Failed"</formula>
    </cfRule>
    <cfRule type="cellIs" dxfId="3" priority="19" operator="equal">
      <formula>"Passed"</formula>
    </cfRule>
  </conditionalFormatting>
  <conditionalFormatting sqref="K20">
    <cfRule type="cellIs" dxfId="2" priority="1" operator="equal">
      <formula>"Not Executed"</formula>
    </cfRule>
    <cfRule type="cellIs" dxfId="1" priority="2" operator="equal">
      <formula>"Failed"</formula>
    </cfRule>
    <cfRule type="cellIs" dxfId="0" priority="3" operator="equal">
      <formula>"Passed"</formula>
    </cfRule>
  </conditionalFormatting>
  <dataValidations count="2">
    <dataValidation type="list" allowBlank="1" showInputMessage="1" showErrorMessage="1" sqref="K41:K51 K14:K39 K4:K12" xr:uid="{00000000-0002-0000-0000-000000000000}">
      <formula1>"Passed,Failed,Not Executed"</formula1>
    </dataValidation>
    <dataValidation type="list" allowBlank="1" showInputMessage="1" showErrorMessage="1" sqref="J41:J51 J14:J39 J4:J12" xr:uid="{00000000-0002-0000-0000-000001000000}">
      <formula1>"High,Medium,Low"</formula1>
      <formula2>0</formula2>
    </dataValidation>
  </dataValidations>
  <pageMargins left="0.25" right="0.25" top="0.75" bottom="0.75" header="0.3" footer="0.3"/>
  <pageSetup paperSize="9" scale="5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D19" sqref="D19"/>
    </sheetView>
  </sheetViews>
  <sheetFormatPr defaultColWidth="8.6328125" defaultRowHeight="14.5" x14ac:dyDescent="0.35"/>
  <cols>
    <col min="1" max="1" width="16" customWidth="1"/>
    <col min="2" max="2" width="12" customWidth="1"/>
    <col min="3" max="3" width="14" customWidth="1"/>
    <col min="4" max="5" width="10" customWidth="1"/>
    <col min="6" max="6" width="12" customWidth="1"/>
  </cols>
  <sheetData>
    <row r="1" spans="1:6" ht="30" customHeight="1" x14ac:dyDescent="0.35">
      <c r="A1" s="18" t="s">
        <v>24</v>
      </c>
      <c r="B1" s="18"/>
      <c r="C1" s="18"/>
      <c r="D1" s="18"/>
      <c r="E1" s="18"/>
      <c r="F1" s="18"/>
    </row>
    <row r="2" spans="1:6" ht="30" customHeight="1" x14ac:dyDescent="0.35">
      <c r="A2" s="1" t="s">
        <v>1</v>
      </c>
      <c r="B2" s="1" t="s">
        <v>25</v>
      </c>
      <c r="C2" s="1" t="s">
        <v>21</v>
      </c>
      <c r="D2" s="1" t="s">
        <v>12</v>
      </c>
      <c r="E2" s="1" t="s">
        <v>20</v>
      </c>
      <c r="F2" s="1" t="s">
        <v>26</v>
      </c>
    </row>
    <row r="3" spans="1:6" x14ac:dyDescent="0.35">
      <c r="A3" s="6" t="s">
        <v>8</v>
      </c>
      <c r="B3" s="7">
        <f>COUNTIF('Test Cases'!$B:$B,A3)</f>
        <v>9</v>
      </c>
      <c r="C3" s="7">
        <f>COUNTIFS('Test Cases'!$B:$B,A3,'Test Cases'!$K:$K,"Not Executed")</f>
        <v>0</v>
      </c>
      <c r="D3" s="7">
        <f>COUNTIFS('Test Cases'!$B:$B,A3,'Test Cases'!$K:$K,"Passed")</f>
        <v>9</v>
      </c>
      <c r="E3" s="7">
        <f>COUNTIFS('Test Cases'!$B:$B,A3,'Test Cases'!$K:$K,"Failed")</f>
        <v>0</v>
      </c>
      <c r="F3" s="8">
        <f>IF(B3=0,"-",D3/B3)</f>
        <v>1</v>
      </c>
    </row>
    <row r="4" spans="1:6" x14ac:dyDescent="0.35">
      <c r="A4" s="9" t="s">
        <v>19</v>
      </c>
      <c r="B4" s="10">
        <f>COUNTIF('Test Cases'!$B:$B,A4)</f>
        <v>0</v>
      </c>
      <c r="C4" s="10">
        <f>COUNTIFS('Test Cases'!$B:$B,A4,'Test Cases'!$K:$K,"Not Executed")</f>
        <v>0</v>
      </c>
      <c r="D4" s="10">
        <f>COUNTIFS('Test Cases'!$B:$B,A4,'Test Cases'!$K:$K,"Passed")</f>
        <v>0</v>
      </c>
      <c r="E4" s="10">
        <f>COUNTIFS('Test Cases'!$B:$B,A4,'Test Cases'!$K:$K,"Failed")</f>
        <v>0</v>
      </c>
      <c r="F4" s="11" t="str">
        <f>IF(B4=0,"-",D4/B4)</f>
        <v>-</v>
      </c>
    </row>
    <row r="5" spans="1:6" x14ac:dyDescent="0.35">
      <c r="A5" s="6" t="s">
        <v>22</v>
      </c>
      <c r="B5" s="7">
        <f>COUNTIF('Test Cases'!$B:$B,A5)</f>
        <v>0</v>
      </c>
      <c r="C5" s="7">
        <f>COUNTIFS('Test Cases'!$B:$B,A5,'Test Cases'!$K:$K,"Not Executed")</f>
        <v>0</v>
      </c>
      <c r="D5" s="7">
        <f>COUNTIFS('Test Cases'!$B:$B,A5,'Test Cases'!$K:$K,"Passed")</f>
        <v>0</v>
      </c>
      <c r="E5" s="7">
        <f>COUNTIFS('Test Cases'!$B:$B,A5,'Test Cases'!$K:$K,"Failed")</f>
        <v>0</v>
      </c>
      <c r="F5" s="8" t="str">
        <f>IF(B5=0,"-",D5/B5)</f>
        <v>-</v>
      </c>
    </row>
    <row r="6" spans="1:6" x14ac:dyDescent="0.35">
      <c r="A6" s="9" t="s">
        <v>23</v>
      </c>
      <c r="B6" s="10">
        <f>COUNTIF('Test Cases'!$B:$B,A6)</f>
        <v>0</v>
      </c>
      <c r="C6" s="10">
        <f>COUNTIFS('Test Cases'!$B:$B,A6,'Test Cases'!$K:$K,"Not Executed")</f>
        <v>0</v>
      </c>
      <c r="D6" s="10">
        <f>COUNTIFS('Test Cases'!$B:$B,A6,'Test Cases'!$K:$K,"Passed")</f>
        <v>0</v>
      </c>
      <c r="E6" s="10">
        <f>COUNTIFS('Test Cases'!$B:$B,A6,'Test Cases'!$K:$K,"Failed")</f>
        <v>0</v>
      </c>
      <c r="F6" s="11" t="str">
        <f>IF(B6=0,"-",D6/B6)</f>
        <v>-</v>
      </c>
    </row>
    <row r="7" spans="1:6" x14ac:dyDescent="0.35">
      <c r="A7" s="12" t="s">
        <v>27</v>
      </c>
      <c r="B7" s="12">
        <f>SUM(B3:B6)</f>
        <v>9</v>
      </c>
      <c r="C7" s="12">
        <f>SUM(C3:C6)</f>
        <v>0</v>
      </c>
      <c r="D7" s="12">
        <f>SUM(D3:D6)</f>
        <v>9</v>
      </c>
      <c r="E7" s="12">
        <f>SUM(E3:E6)</f>
        <v>0</v>
      </c>
      <c r="F7" s="13">
        <f>IF(B7=0,"-",D7/B7)</f>
        <v>1</v>
      </c>
    </row>
    <row r="9" spans="1:6" x14ac:dyDescent="0.35">
      <c r="A9" s="20" t="s">
        <v>28</v>
      </c>
      <c r="B9" s="20"/>
      <c r="C9" s="20"/>
      <c r="D9" s="20"/>
      <c r="E9" s="20"/>
      <c r="F9" s="20"/>
    </row>
    <row r="10" spans="1:6" x14ac:dyDescent="0.35">
      <c r="A10" s="14" t="s">
        <v>21</v>
      </c>
      <c r="B10" s="19" t="s">
        <v>29</v>
      </c>
      <c r="C10" s="19"/>
      <c r="D10" s="19"/>
      <c r="E10" s="19"/>
      <c r="F10" s="19"/>
    </row>
    <row r="11" spans="1:6" x14ac:dyDescent="0.35">
      <c r="A11" s="15" t="s">
        <v>12</v>
      </c>
      <c r="B11" s="19" t="s">
        <v>30</v>
      </c>
      <c r="C11" s="19"/>
      <c r="D11" s="19"/>
      <c r="E11" s="19"/>
      <c r="F11" s="19"/>
    </row>
    <row r="12" spans="1:6" x14ac:dyDescent="0.35">
      <c r="A12" s="16" t="s">
        <v>20</v>
      </c>
      <c r="B12" s="19" t="s">
        <v>31</v>
      </c>
      <c r="C12" s="19"/>
      <c r="D12" s="19"/>
      <c r="E12" s="19"/>
      <c r="F12" s="19"/>
    </row>
    <row r="13" spans="1:6" x14ac:dyDescent="0.35">
      <c r="A13" s="17" t="s">
        <v>32</v>
      </c>
      <c r="B13" s="19" t="s">
        <v>33</v>
      </c>
      <c r="C13" s="19"/>
      <c r="D13" s="19"/>
      <c r="E13" s="19"/>
      <c r="F13" s="19"/>
    </row>
  </sheetData>
  <mergeCells count="6">
    <mergeCell ref="B13:F13"/>
    <mergeCell ref="A1:F1"/>
    <mergeCell ref="A9:F9"/>
    <mergeCell ref="B10:F10"/>
    <mergeCell ref="B11:F11"/>
    <mergeCell ref="B12:F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Gislaine Venancio</cp:lastModifiedBy>
  <cp:revision>0</cp:revision>
  <cp:lastPrinted>2026-08-14T12:50:41Z</cp:lastPrinted>
  <dcterms:created xsi:type="dcterms:W3CDTF">2026-05-16T19:26:32Z</dcterms:created>
  <dcterms:modified xsi:type="dcterms:W3CDTF">2026-09-16T00:53:06Z</dcterms:modified>
  <dc:language>en-US</dc:language>
</cp:coreProperties>
</file>